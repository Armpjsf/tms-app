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icle_Data" state="visible" r:id="rId4"/>
    <sheet sheetId="2" name="Vehicle_Recommendation" state="visible" r:id="rId5"/>
  </sheets>
  <calcPr calcId="171027"/>
</workbook>
</file>

<file path=xl/sharedStrings.xml><?xml version="1.0" encoding="utf-8"?>
<sst xmlns="http://schemas.openxmlformats.org/spreadsheetml/2006/main" count="48" uniqueCount="45">
  <si>
    <t>Rank</t>
  </si>
  <si>
    <t>Vehicle Type</t>
  </si>
  <si>
    <t>Max Weight (kg)</t>
  </si>
  <si>
    <t>Max CBM</t>
  </si>
  <si>
    <t>Inner Dimensions (LxWxH)</t>
  </si>
  <si>
    <t>Axles</t>
  </si>
  <si>
    <t>4 ล้อ (ตู้มาตรฐาน)</t>
  </si>
  <si>
    <t>2.3 x 1.7 x 2.1 m</t>
  </si>
  <si>
    <t>4 ล้อ</t>
  </si>
  <si>
    <t>4 ล้อ (Jumbo/Extended)</t>
  </si>
  <si>
    <t>3.1 x 1.7 x 2.2 m</t>
  </si>
  <si>
    <t>6 ล้อ (5.5m)</t>
  </si>
  <si>
    <t>5.5 x 2.3 x 2.3 m</t>
  </si>
  <si>
    <t>6 ล้อ</t>
  </si>
  <si>
    <t>6 ล้อ (7.2m)</t>
  </si>
  <si>
    <t>7.2 x 2.4 x 2.4 m</t>
  </si>
  <si>
    <t>10 ล้อ (7.6m)</t>
  </si>
  <si>
    <t>7.6 x 2.4 x 2.5 m</t>
  </si>
  <si>
    <t>10 ล้อ</t>
  </si>
  <si>
    <t>10 ล้อ (9.6m)</t>
  </si>
  <si>
    <t>9.6 x 2.4 x 2.5 m</t>
  </si>
  <si>
    <t>10 ล้อพ่วง (แม่-ลูก)</t>
  </si>
  <si>
    <t>แม่: 6.5m / ลูก: 6.5m</t>
  </si>
  <si>
    <t>18-22 ล้อ</t>
  </si>
  <si>
    <t>เทรลเลอร์ 18 ล้อ (Semi-Trailer)</t>
  </si>
  <si>
    <t>12.5 x 2.4 x 2.5 m</t>
  </si>
  <si>
    <t>18 ล้อ</t>
  </si>
  <si>
    <t>เทรลเลอร์ 22 ล้อ (Full Trailer)</t>
  </si>
  <si>
    <t>13.6 x 2.4 x 2.6 m</t>
  </si>
  <si>
    <t>22 ล้อ</t>
  </si>
  <si>
    <t>📦 ระบบวิเคราะห์และแนะนำประเภทรถขนส่ง (Heavy Fleet Edition v3.0)</t>
  </si>
  <si>
    <t>1. กรอกข้อมูลสินค้า (Cargo Details)</t>
  </si>
  <si>
    <t>กว้าง (ซม.):</t>
  </si>
  <si>
    <t>ยาว (ซม.):</t>
  </si>
  <si>
    <t>สูง (ซม.):</t>
  </si>
  <si>
    <t>น้ำหนักต่อชิ้น (กก.):</t>
  </si>
  <si>
    <t>จำนวน (ชิ้น):</t>
  </si>
  <si>
    <t>2. ผลลัพธ์การคำนวณ (Calculated Totals)</t>
  </si>
  <si>
    <t>ปริมาตรรวมทั้งหมด (CBM):</t>
  </si>
  <si>
    <t>น้ำหนักรวมทั้งหมด (กก.):</t>
  </si>
  <si>
    <t>3. ประเภทรถที่แนะนำ (Recommended Vehicle)</t>
  </si>
  <si>
    <t>⚠️ หมายเหตุ (Heavy Fleet):</t>
  </si>
  <si>
    <t>- 10 ล้อพ่วง (แม่-ลูก): เน้นปริมาตร CBM สูงที่สุด (รวม 2 ตู้)</t>
  </si>
  <si>
    <t>- เทรลเลอร์ 18/22 ล้อ: เน้นบรรทุกน้ำหนักและสินค้าที่มีความยาวพิเศษ</t>
  </si>
  <si>
    <t>- ตัวเลขน้ำหนักบรรทุกอิงตามกฎหมายทางหลวง (ไม่รวมน้ำหนักรถ)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</si>
</sst>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 &quot;CBM&quot;"/>
    <numFmt numFmtId="165" formatCode="#,##0 &quot;kg&quot;"/>
  </numFmts>
  <fonts count="8" x14ac:knownFonts="1">
    <font>
      <color theme="1"/>
      <family val="2"/>
      <scheme val="minor"/>
      <sz val="11"/>
      <name val="Calibri"/>
    </font>
    <font>
      <b/>
      <color rgb="FF1E40AF"/>
      <sz val="16"/>
    </font>
    <font>
      <b/>
    </font>
    <font>
      <b/>
      <color rgb="FF2563EB"/>
    </font>
    <font>
      <b/>
      <color rgb="FFD97706"/>
    </font>
    <font>
      <b/>
      <color rgb="FF047857"/>
    </font>
    <font>
      <b/>
      <color rgb="FFFFFFFF"/>
      <sz val="14"/>
    </font>
    <font>
      <b/>
      <i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5966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164" fontId="3" fillId="0" borderId="0" xfId="0" applyNumberFormat="1" applyFont="1"/>
    <xf numFmtId="165" fontId="4" fillId="0" borderId="0" xfId="0" applyNumberFormat="1" applyFont="1"/>
    <xf numFmtId="0" fontId="5" fillId="0" borderId="0" xfId="0" applyFont="1"/>
    <xf numFmtId="0" fontId="6" fillId="3" borderId="2" xfId="0" applyFont="1" applyFill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1500</v>
      </c>
      <c r="D2">
        <v>7.5</v>
      </c>
      <c r="E2" t="s">
        <v>7</v>
      </c>
      <c r="F2" t="s">
        <v>8</v>
      </c>
    </row>
    <row r="3" spans="1:6" x14ac:dyDescent="0.25">
      <c r="A3">
        <v>2</v>
      </c>
      <c r="B3" t="s">
        <v>9</v>
      </c>
      <c r="C3">
        <v>2200</v>
      </c>
      <c r="D3">
        <v>12</v>
      </c>
      <c r="E3" t="s">
        <v>10</v>
      </c>
      <c r="F3" t="s">
        <v>8</v>
      </c>
    </row>
    <row r="4" spans="1:6" x14ac:dyDescent="0.25">
      <c r="A4">
        <v>3</v>
      </c>
      <c r="B4" t="s">
        <v>11</v>
      </c>
      <c r="C4">
        <v>5000</v>
      </c>
      <c r="D4">
        <v>26</v>
      </c>
      <c r="E4" t="s">
        <v>12</v>
      </c>
      <c r="F4" t="s">
        <v>13</v>
      </c>
    </row>
    <row r="5" spans="1:6" x14ac:dyDescent="0.25">
      <c r="A5">
        <v>4</v>
      </c>
      <c r="B5" t="s">
        <v>14</v>
      </c>
      <c r="C5">
        <v>8000</v>
      </c>
      <c r="D5">
        <v>38</v>
      </c>
      <c r="E5" t="s">
        <v>15</v>
      </c>
      <c r="F5" t="s">
        <v>13</v>
      </c>
    </row>
    <row r="6" spans="1:6" x14ac:dyDescent="0.25">
      <c r="A6">
        <v>5</v>
      </c>
      <c r="B6" t="s">
        <v>16</v>
      </c>
      <c r="C6">
        <v>15000</v>
      </c>
      <c r="D6">
        <v>45</v>
      </c>
      <c r="E6" t="s">
        <v>17</v>
      </c>
      <c r="F6" t="s">
        <v>18</v>
      </c>
    </row>
    <row r="7" spans="1:6" x14ac:dyDescent="0.25">
      <c r="A7">
        <v>6</v>
      </c>
      <c r="B7" t="s">
        <v>19</v>
      </c>
      <c r="C7">
        <v>16000</v>
      </c>
      <c r="D7">
        <v>58</v>
      </c>
      <c r="E7" t="s">
        <v>20</v>
      </c>
      <c r="F7" t="s">
        <v>18</v>
      </c>
    </row>
    <row r="8" spans="1:6" x14ac:dyDescent="0.25">
      <c r="A8">
        <v>7</v>
      </c>
      <c r="B8" t="s">
        <v>21</v>
      </c>
      <c r="C8">
        <v>28000</v>
      </c>
      <c r="D8">
        <v>110</v>
      </c>
      <c r="E8" t="s">
        <v>22</v>
      </c>
      <c r="F8" t="s">
        <v>23</v>
      </c>
    </row>
    <row r="9" spans="1:6" x14ac:dyDescent="0.25">
      <c r="A9">
        <v>8</v>
      </c>
      <c r="B9" t="s">
        <v>24</v>
      </c>
      <c r="C9">
        <v>30000</v>
      </c>
      <c r="D9">
        <v>75</v>
      </c>
      <c r="E9" t="s">
        <v>25</v>
      </c>
      <c r="F9" t="s">
        <v>26</v>
      </c>
    </row>
    <row r="10" spans="1:6" x14ac:dyDescent="0.25">
      <c r="A10">
        <v>9</v>
      </c>
      <c r="B10" t="s">
        <v>27</v>
      </c>
      <c r="C10">
        <v>32000</v>
      </c>
      <c r="D10">
        <v>85</v>
      </c>
      <c r="E10" t="s">
        <v>28</v>
      </c>
      <c r="F1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FormatPr defaultRowHeight="15" outlineLevelRow="0" outlineLevelCol="0" x14ac:dyDescent="55"/>
  <cols>
    <col min="2" max="2" width="35" customWidth="1"/>
    <col min="3" max="3" width="45" customWidth="1"/>
    <col min="5" max="5" width="9" hidden="1" customWidth="1"/>
  </cols>
  <sheetData>
    <row r="2" spans="2:2" x14ac:dyDescent="0.25">
      <c r="B2" s="1" t="s">
        <v>30</v>
      </c>
    </row>
    <row r="4" spans="2:2" x14ac:dyDescent="0.25">
      <c r="B4" s="2" t="s">
        <v>31</v>
      </c>
    </row>
    <row r="6" spans="2:3" x14ac:dyDescent="0.25">
      <c r="B6" s="2" t="s">
        <v>32</v>
      </c>
      <c r="C6" s="3">
        <v>50</v>
      </c>
    </row>
    <row r="7" spans="2:3" x14ac:dyDescent="0.25">
      <c r="B7" s="2" t="s">
        <v>33</v>
      </c>
      <c r="C7" s="3">
        <v>50</v>
      </c>
    </row>
    <row r="8" spans="2:3" x14ac:dyDescent="0.25">
      <c r="B8" s="2" t="s">
        <v>34</v>
      </c>
      <c r="C8" s="3">
        <v>50</v>
      </c>
    </row>
    <row r="9" spans="2:3" x14ac:dyDescent="0.25">
      <c r="B9" s="2" t="s">
        <v>35</v>
      </c>
      <c r="C9" s="3">
        <v>10</v>
      </c>
    </row>
    <row r="10" spans="2:3" x14ac:dyDescent="0.25">
      <c r="B10" s="2" t="s">
        <v>36</v>
      </c>
      <c r="C10" s="3">
        <v>100</v>
      </c>
    </row>
    <row r="13" spans="2:2" x14ac:dyDescent="0.25">
      <c r="B13" s="2" t="s">
        <v>37</v>
      </c>
    </row>
    <row r="15" spans="2:3" x14ac:dyDescent="0.25">
      <c r="B15" t="s">
        <v>38</v>
      </c>
      <c r="C15" s="4">
        <f>(C6 * C7 * C8 * C10) / 1000000</f>
      </c>
    </row>
    <row r="16" spans="2:3" x14ac:dyDescent="0.25">
      <c r="B16" t="s">
        <v>39</v>
      </c>
      <c r="C16" s="5">
        <f>C9 * C10</f>
      </c>
    </row>
    <row r="19" spans="2:2" x14ac:dyDescent="0.25">
      <c r="B19" s="6" t="s">
        <v>40</v>
      </c>
    </row>
    <row r="21" spans="3:5" x14ac:dyDescent="0.25">
      <c r="C21" s="7">
        <f>E21</f>
      </c>
      <c r="E21">
        <f>IF(AND(C16&lt;='Vehicle_Data'!$C$2, C15&lt;='Vehicle_Data'!$D$2), 'Vehicle_Data'!$B$2,
                  IF(AND(C16&lt;='Vehicle_Data'!$C$3, C15&lt;='Vehicle_Data'!$D$3), 'Vehicle_Data'!$B$3,
                  IF(AND(C16&lt;='Vehicle_Data'!$C$4, C15&lt;='Vehicle_Data'!$D$4), 'Vehicle_Data'!$B$4,
                  IF(AND(C16&lt;='Vehicle_Data'!$C$5, C15&lt;='Vehicle_Data'!$D$5), 'Vehicle_Data'!$B$5,
                  IF(AND(C16&lt;='Vehicle_Data'!$C$6, C15&lt;='Vehicle_Data'!$D$6), 'Vehicle_Data'!$B$6,
                  IF(AND(C16&lt;='Vehicle_Data'!$C$7, C15&lt;='Vehicle_Data'!$D$7), 'Vehicle_Data'!$B$7,
                  IF(AND(C16&lt;='Vehicle_Data'!$C$8, C15&lt;='Vehicle_Data'!$D$8), 'Vehicle_Data'!$B$8,
                  IF(AND(C16&lt;='Vehicle_Data'!$C$9, C15&lt;='Vehicle_Data'!$D$9), 'Vehicle_Data'!$B$9,
                  IF(AND(C16&lt;='Vehicle_Data'!$C$10, C15&lt;='Vehicle_Data'!$D$10), 'Vehicle_Data'!$B$10,
                  "เกินขีดจำกัด (น้ำหนัก/CBM เกินขนาดเทรลเลอร์ 22 ล้อ)")))))))))</f>
      </c>
    </row>
    <row r="24" spans="2:2" x14ac:dyDescent="0.25">
      <c r="B24" s="8" t="s">
        <v>41</v>
      </c>
    </row>
    <row r="25" spans="2:2" x14ac:dyDescent="0.25">
      <c r="B25" t="s">
        <v>42</v>
      </c>
    </row>
    <row r="26" spans="2:2" x14ac:dyDescent="0.25">
      <c r="B26" t="s">
        <v>43</v>
      </c>
    </row>
    <row r="27" spans="2:2" x14ac:dyDescent="0.25">
      <c r="B27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Vehicle_Data</vt:lpstr>
      <vt:lpstr>Vehicle_Recommendation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2026-05-19T08:57:28Z</dcterms:created>
  <dcterms:modified xsi:type="dcterms:W3CDTF">2026-05-19T08:57:28Z</dcterms:modified>
</cp:coreProperties>
</file>